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e" sheetId="1" state="visible" r:id="rId1"/>
    <sheet xmlns:r="http://schemas.openxmlformats.org/officeDocument/2006/relationships" name="Cribado" sheetId="2" state="visible" r:id="rId2"/>
    <sheet xmlns:r="http://schemas.openxmlformats.org/officeDocument/2006/relationships" name="Criterios" sheetId="3" state="visible" r:id="rId3"/>
  </sheets>
  <definedNames>
    <definedName name="_xlnm._FilterDatabase" localSheetId="1" hidden="1">'Cribado'!$A$1:$I$31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67F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Revisor</t>
        </is>
      </c>
      <c r="B1" t="inlineStr">
        <is>
          <t>Wilbert A. Mayta Arotaype</t>
        </is>
      </c>
    </row>
    <row r="2">
      <c r="A2" s="1" t="inlineStr">
        <is>
          <t>Etapa</t>
        </is>
      </c>
      <c r="B2" t="inlineStr">
        <is>
          <t>Texto completo</t>
        </is>
      </c>
    </row>
    <row r="3">
      <c r="A3" s="1" t="inlineStr">
        <is>
          <t>Registros en la hoja</t>
        </is>
      </c>
      <c r="B3" t="n">
        <v>30</v>
      </c>
    </row>
    <row r="4">
      <c r="A4" s="1" t="inlineStr">
        <is>
          <t>Decididos</t>
        </is>
      </c>
      <c r="B4">
        <f>COUNTA(Cribado!F2:F31)</f>
        <v/>
      </c>
    </row>
    <row r="5">
      <c r="A5" s="1" t="inlineStr">
        <is>
          <t>Faltan</t>
        </is>
      </c>
      <c r="B5">
        <f>B4-B5</f>
        <v/>
      </c>
    </row>
    <row r="6">
      <c r="A6" s="1" t="inlineStr">
        <is>
          <t>Incluir</t>
        </is>
      </c>
      <c r="B6">
        <f>COUNTIF(Cribado!F2:F31,"Incluir")</f>
        <v/>
      </c>
    </row>
    <row r="7">
      <c r="A7" s="1" t="inlineStr">
        <is>
          <t>Duda</t>
        </is>
      </c>
      <c r="B7">
        <f>COUNTIF(Cribado!F2:F31,"Duda")</f>
        <v/>
      </c>
    </row>
    <row r="8">
      <c r="A8" s="1" t="inlineStr">
        <is>
          <t>Excluir</t>
        </is>
      </c>
      <c r="B8">
        <f>COUNTIF(Cribado!F2:F31,"Excluir")</f>
        <v/>
      </c>
    </row>
    <row r="9">
      <c r="A9" s="1" t="inlineStr">
        <is>
          <t>Excluir SIN criterio (debe ser 0)</t>
        </is>
      </c>
      <c r="B9">
        <f>COUNTIFS(Cribado!F2:F31,"Excluir",Cribado!G2:G31,"")</f>
        <v/>
      </c>
    </row>
    <row r="11">
      <c r="A11" t="inlineStr">
        <is>
          <t>Cómo trabajar</t>
        </is>
      </c>
      <c r="B11" s="2" t="inlineStr">
        <is>
          <t>Filtra la columna SUGERENCIA (flecha del encabezado). Empieza por «Excluir (regla)»: verifica cada uno leyendo el título y, si estás de acuerdo, deja la decisión prellenada. Luego «Probable incluir» y al final «Revisar». La SUGERENCIA es solo una ayuda: la decisión es tuya. Lee la hoja «Criterios» y el MANUAL_CRIBADO.md.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6" customWidth="1" min="3" max="3"/>
    <col width="26" customWidth="1" min="4" max="4"/>
    <col width="13" customWidth="1" min="5" max="5"/>
    <col width="11" customWidth="1" min="6" max="6"/>
    <col width="12" customWidth="1" min="7" max="7"/>
    <col width="45" customWidth="1" min="8" max="8"/>
    <col width="30" customWidth="1" min="9" max="9"/>
  </cols>
  <sheetData>
    <row r="1" ht="36" customHeight="1">
      <c r="A1" s="3" t="inlineStr">
        <is>
          <t>ID</t>
        </is>
      </c>
      <c r="B1" s="3" t="inlineStr">
        <is>
          <t>Título</t>
        </is>
      </c>
      <c r="C1" s="3" t="inlineStr">
        <is>
          <t>Año</t>
        </is>
      </c>
      <c r="D1" s="3" t="inlineStr">
        <is>
          <t>DOI</t>
        </is>
      </c>
      <c r="E1" s="4" t="inlineStr">
        <is>
          <t>Texto completo</t>
        </is>
      </c>
      <c r="F1" s="4" t="inlineStr">
        <is>
          <t>DECISIÓN</t>
        </is>
      </c>
      <c r="G1" s="4" t="inlineStr">
        <is>
          <t>CRITERIO (si excluye)</t>
        </is>
      </c>
      <c r="H1" s="4" t="inlineStr">
        <is>
          <t>EVIDENCIA (cita textual + página o sección)</t>
        </is>
      </c>
      <c r="I1" s="4" t="inlineStr">
        <is>
          <t>Comentario</t>
        </is>
      </c>
    </row>
    <row r="2" ht="30" customHeight="1">
      <c r="A2" s="2" t="inlineStr">
        <is>
          <t>R0501</t>
        </is>
      </c>
      <c r="B2" s="2" t="inlineStr">
        <is>
          <t>Feasibility Analysis of Static-Image-Based Traffic Accident Detection Under Domain Shift for Edge-AI Surveillance Systems</t>
        </is>
      </c>
      <c r="C2" s="2" t="inlineStr">
        <is>
          <t>2026</t>
        </is>
      </c>
      <c r="D2" s="2" t="inlineStr">
        <is>
          <t>10.3390/electronics15091803</t>
        </is>
      </c>
      <c r="E2" s="2" t="n"/>
      <c r="F2" s="2" t="n"/>
      <c r="G2" s="2" t="n"/>
      <c r="H2" s="2" t="n"/>
      <c r="I2" s="2" t="n"/>
    </row>
    <row r="3" ht="30" customHeight="1">
      <c r="A3" s="2" t="inlineStr">
        <is>
          <t>R0175</t>
        </is>
      </c>
      <c r="B3" s="2" t="inlineStr">
        <is>
          <t>A Real-Time Consensus-Free Accident Detection Framework for Internet of Vehicles Using Vision Transformer and EfficientNet</t>
        </is>
      </c>
      <c r="C3" s="2" t="inlineStr">
        <is>
          <t>2026</t>
        </is>
      </c>
      <c r="D3" s="2" t="inlineStr">
        <is>
          <t>10.3390/ai7010004</t>
        </is>
      </c>
      <c r="E3" s="2" t="n"/>
      <c r="F3" s="2" t="n"/>
      <c r="G3" s="2" t="n"/>
      <c r="H3" s="2" t="n"/>
      <c r="I3" s="2" t="n"/>
    </row>
    <row r="4" ht="30" customHeight="1">
      <c r="A4" s="2" t="inlineStr">
        <is>
          <t>R0025</t>
        </is>
      </c>
      <c r="B4" s="2" t="inlineStr">
        <is>
          <t>Abnormal Vehicle Toll Evasion Detection Based on an Improved Transformer</t>
        </is>
      </c>
      <c r="C4" s="2" t="inlineStr">
        <is>
          <t>2025</t>
        </is>
      </c>
      <c r="D4" s="2" t="inlineStr">
        <is>
          <t>10.1145/3776865.3776937</t>
        </is>
      </c>
      <c r="E4" s="2" t="n"/>
      <c r="F4" s="2" t="n"/>
      <c r="G4" s="2" t="n"/>
      <c r="H4" s="2" t="n"/>
      <c r="I4" s="2" t="n"/>
    </row>
    <row r="5" ht="30" customHeight="1">
      <c r="A5" s="2" t="inlineStr">
        <is>
          <t>R0313</t>
        </is>
      </c>
      <c r="B5" s="2" t="inlineStr">
        <is>
          <t>CVAE-ADS: A Deep Learning Framework for Traffic Accident Detection and Video Summarization</t>
        </is>
      </c>
      <c r="C5" s="2" t="inlineStr">
        <is>
          <t>2026</t>
        </is>
      </c>
      <c r="D5" s="2" t="inlineStr">
        <is>
          <t>10.35882/jeeemi.v8i1.1139</t>
        </is>
      </c>
      <c r="E5" s="2" t="n"/>
      <c r="F5" s="2" t="n"/>
      <c r="G5" s="2" t="n"/>
      <c r="H5" s="2" t="n"/>
      <c r="I5" s="2" t="n"/>
    </row>
    <row r="6" ht="30" customHeight="1">
      <c r="A6" s="2" t="inlineStr">
        <is>
          <t>R0243</t>
        </is>
      </c>
      <c r="B6" s="2" t="inlineStr">
        <is>
          <t>Automatic Traffic Anomaly Detection on the Road Network with Spatial-Temporal Graph Neural Network Representation Learning</t>
        </is>
      </c>
      <c r="C6" s="2" t="inlineStr">
        <is>
          <t>2022</t>
        </is>
      </c>
      <c r="D6" s="2" t="inlineStr">
        <is>
          <t>10.1155/2022/4222827</t>
        </is>
      </c>
      <c r="E6" s="2" t="n"/>
      <c r="F6" s="2" t="n"/>
      <c r="G6" s="2" t="n"/>
      <c r="H6" s="2" t="n"/>
      <c r="I6" s="2" t="n"/>
    </row>
    <row r="7" ht="30" customHeight="1">
      <c r="A7" s="2" t="inlineStr">
        <is>
          <t>R0119</t>
        </is>
      </c>
      <c r="B7" s="2" t="inlineStr">
        <is>
          <t>An efficient computer vision framework for RSU-based accident recognition and V2X communication</t>
        </is>
      </c>
      <c r="C7" s="2" t="inlineStr">
        <is>
          <t>2026</t>
        </is>
      </c>
      <c r="D7" s="2" t="inlineStr">
        <is>
          <t>10.21595/mme.2026.26075</t>
        </is>
      </c>
      <c r="E7" s="2" t="n"/>
      <c r="F7" s="2" t="n"/>
      <c r="G7" s="2" t="n"/>
      <c r="H7" s="2" t="n"/>
      <c r="I7" s="2" t="n"/>
    </row>
    <row r="8" ht="30" customHeight="1">
      <c r="A8" s="2" t="inlineStr">
        <is>
          <t>R0614</t>
        </is>
      </c>
      <c r="B8" s="2" t="inlineStr">
        <is>
          <t>IoT Based Accident Prevention System using Machine Learning techniques</t>
        </is>
      </c>
      <c r="C8" s="2" t="inlineStr">
        <is>
          <t>2024</t>
        </is>
      </c>
      <c r="D8" s="2" t="inlineStr">
        <is>
          <t>10.1145/3639592.3639617</t>
        </is>
      </c>
      <c r="E8" s="2" t="n"/>
      <c r="F8" s="2" t="n"/>
      <c r="G8" s="2" t="n"/>
      <c r="H8" s="2" t="n"/>
      <c r="I8" s="2" t="n"/>
    </row>
    <row r="9" ht="30" customHeight="1">
      <c r="A9" s="2" t="inlineStr">
        <is>
          <t>R0167</t>
        </is>
      </c>
      <c r="B9" s="2" t="inlineStr">
        <is>
          <t>A Personalized Federated Learning Framework for Post-Event Forensic Traffic Analysis in Autonomous Vehicle Systems</t>
        </is>
      </c>
      <c r="C9" s="2" t="inlineStr">
        <is>
          <t>2026</t>
        </is>
      </c>
      <c r="D9" s="2" t="inlineStr">
        <is>
          <t>10.56979/1002/2026/1147</t>
        </is>
      </c>
      <c r="E9" s="2" t="n"/>
      <c r="F9" s="2" t="n"/>
      <c r="G9" s="2" t="n"/>
      <c r="H9" s="2" t="n"/>
      <c r="I9" s="2" t="n"/>
    </row>
    <row r="10" ht="30" customHeight="1">
      <c r="A10" s="2" t="inlineStr">
        <is>
          <t>R0024</t>
        </is>
      </c>
      <c r="B10" s="2" t="inlineStr">
        <is>
          <t>Abnormal Trajectory Detection Based on Geospatial Consistent Modeling</t>
        </is>
      </c>
      <c r="C10" s="2" t="inlineStr">
        <is>
          <t>2020</t>
        </is>
      </c>
      <c r="D10" s="2" t="inlineStr">
        <is>
          <t>10.1109/ACCESS.2020.3028847</t>
        </is>
      </c>
      <c r="E10" s="2" t="n"/>
      <c r="F10" s="2" t="n"/>
      <c r="G10" s="2" t="n"/>
      <c r="H10" s="2" t="n"/>
      <c r="I10" s="2" t="n"/>
    </row>
    <row r="11" ht="30" customHeight="1">
      <c r="A11" s="2" t="inlineStr">
        <is>
          <t>R0121</t>
        </is>
      </c>
      <c r="B11" s="2" t="inlineStr">
        <is>
          <t>An ensemble time-embedded transformer model for traffic conflict prediction at RRFB pedestrian crossings</t>
        </is>
      </c>
      <c r="C11" s="2" t="inlineStr">
        <is>
          <t>2025</t>
        </is>
      </c>
      <c r="D11" s="2" t="inlineStr">
        <is>
          <t>https://doi.org/10.1016/j.treng.2025.100318</t>
        </is>
      </c>
      <c r="E11" s="2" t="n"/>
      <c r="F11" s="2" t="n"/>
      <c r="G11" s="2" t="n"/>
      <c r="H11" s="2" t="n"/>
      <c r="I11" s="2" t="n"/>
    </row>
    <row r="12" ht="30" customHeight="1">
      <c r="A12" s="2" t="inlineStr">
        <is>
          <t>R1014</t>
        </is>
      </c>
      <c r="B12" s="2" t="inlineStr">
        <is>
          <t>Road traffic anomaly monitoring and warning based on DeepWalk algorithm</t>
        </is>
      </c>
      <c r="C12" s="2" t="inlineStr">
        <is>
          <t>2023</t>
        </is>
      </c>
      <c r="D12" s="2" t="inlineStr">
        <is>
          <t>10.1093/tse/tdac049</t>
        </is>
      </c>
      <c r="E12" s="2" t="n"/>
      <c r="F12" s="2" t="n"/>
      <c r="G12" s="2" t="n"/>
      <c r="H12" s="2" t="n"/>
      <c r="I12" s="2" t="n"/>
    </row>
    <row r="13" ht="30" customHeight="1">
      <c r="A13" s="2" t="inlineStr">
        <is>
          <t>R1052</t>
        </is>
      </c>
      <c r="B13" s="2" t="inlineStr">
        <is>
          <t>Smart City Transportation: Deep Learning Ensemble Approach for Traffic Accident Detection</t>
        </is>
      </c>
      <c r="C13" s="2" t="inlineStr">
        <is>
          <t>2024</t>
        </is>
      </c>
      <c r="D13" s="2" t="inlineStr">
        <is>
          <t>10.1109/ACCESS.2024.3387972</t>
        </is>
      </c>
      <c r="E13" s="2" t="n"/>
      <c r="F13" s="2" t="n"/>
      <c r="G13" s="2" t="n"/>
      <c r="H13" s="2" t="n"/>
      <c r="I13" s="2" t="n"/>
    </row>
    <row r="14" ht="30" customHeight="1">
      <c r="A14" s="2" t="inlineStr">
        <is>
          <t>R1094</t>
        </is>
      </c>
      <c r="B14" s="2" t="inlineStr">
        <is>
          <t>SWencoder: a succinct shockwave diagram encoding and interpretable deep learning model design to enhance learning efficiency and assurance</t>
        </is>
      </c>
      <c r="C14" s="2" t="inlineStr">
        <is>
          <t>2026</t>
        </is>
      </c>
      <c r="D14" s="2" t="inlineStr">
        <is>
          <t>10.1016/j.trc.2026.105648</t>
        </is>
      </c>
      <c r="E14" s="2" t="n"/>
      <c r="F14" s="2" t="n"/>
      <c r="G14" s="2" t="n"/>
      <c r="H14" s="2" t="n"/>
      <c r="I14" s="2" t="n"/>
    </row>
    <row r="15" ht="30" customHeight="1">
      <c r="A15" s="2" t="inlineStr">
        <is>
          <t>R0958</t>
        </is>
      </c>
      <c r="B15" s="2" t="inlineStr">
        <is>
          <t>Recognition of surrounding vehicle anomalous intent in the vehicle-road-cloud environment for autonomous driving</t>
        </is>
      </c>
      <c r="C15" s="2" t="inlineStr">
        <is>
          <t>2026</t>
        </is>
      </c>
      <c r="D15" s="2" t="inlineStr">
        <is>
          <t>https://doi.org/10.1016/j.cjme.2025.100169</t>
        </is>
      </c>
      <c r="E15" s="2" t="n"/>
      <c r="F15" s="2" t="n"/>
      <c r="G15" s="2" t="n"/>
      <c r="H15" s="2" t="n"/>
      <c r="I15" s="2" t="n"/>
    </row>
    <row r="16" ht="30" customHeight="1">
      <c r="A16" s="2" t="inlineStr">
        <is>
          <t>R1074</t>
        </is>
      </c>
      <c r="B16" s="2" t="inlineStr">
        <is>
          <t>Special Traffic Event Detection: Framework, Dataset Generation, and Deep Neural Network Perspectives</t>
        </is>
      </c>
      <c r="C16" s="2" t="inlineStr">
        <is>
          <t>2023</t>
        </is>
      </c>
      <c r="D16" s="2" t="inlineStr">
        <is>
          <t>10.3390/s23198129</t>
        </is>
      </c>
      <c r="E16" s="2" t="n"/>
      <c r="F16" s="2" t="n"/>
      <c r="G16" s="2" t="n"/>
      <c r="H16" s="2" t="n"/>
      <c r="I16" s="2" t="n"/>
    </row>
    <row r="17" ht="30" customHeight="1">
      <c r="A17" s="2" t="inlineStr">
        <is>
          <t>R0600</t>
        </is>
      </c>
      <c r="B17" s="2" t="inlineStr">
        <is>
          <t>Intelligent surveillance system for accident detection using machine learning</t>
        </is>
      </c>
      <c r="C17" s="2" t="inlineStr">
        <is>
          <t>2026</t>
        </is>
      </c>
      <c r="D17" s="2" t="inlineStr">
        <is>
          <t>10.1016/j.trip.2026.102192</t>
        </is>
      </c>
      <c r="E17" s="2" t="n"/>
      <c r="F17" s="2" t="n"/>
      <c r="G17" s="2" t="n"/>
      <c r="H17" s="2" t="n"/>
      <c r="I17" s="2" t="n"/>
    </row>
    <row r="18" ht="30" customHeight="1">
      <c r="A18" s="2" t="inlineStr">
        <is>
          <t>R0666</t>
        </is>
      </c>
      <c r="B18" s="2" t="inlineStr">
        <is>
          <t>Multi-Adjacent Camera-Based Dangerous Driving Trajectory Recognition for Ultra-Long Highways</t>
        </is>
      </c>
      <c r="C18" s="2" t="inlineStr">
        <is>
          <t>2024</t>
        </is>
      </c>
      <c r="D18" s="2" t="inlineStr">
        <is>
          <t>10.3390/app14114593</t>
        </is>
      </c>
      <c r="E18" s="2" t="n"/>
      <c r="F18" s="2" t="n"/>
      <c r="G18" s="2" t="n"/>
      <c r="H18" s="2" t="n"/>
      <c r="I18" s="2" t="n"/>
    </row>
    <row r="19" ht="30" customHeight="1">
      <c r="A19" s="2" t="inlineStr">
        <is>
          <t>R0341</t>
        </is>
      </c>
      <c r="B19" s="2" t="inlineStr">
        <is>
          <t>Deep learning based detection and localization of road accidents from traffic surveillance videos</t>
        </is>
      </c>
      <c r="C19" s="2" t="inlineStr">
        <is>
          <t>2022</t>
        </is>
      </c>
      <c r="D19" s="2" t="inlineStr">
        <is>
          <t>https://doi.org/10.1016/j.icte.2021.11.004</t>
        </is>
      </c>
      <c r="E19" s="2" t="n"/>
      <c r="F19" s="2" t="n"/>
      <c r="G19" s="2" t="n"/>
      <c r="H19" s="2" t="n"/>
      <c r="I19" s="2" t="n"/>
    </row>
    <row r="20" ht="30" customHeight="1">
      <c r="A20" s="2" t="inlineStr">
        <is>
          <t>R0682</t>
        </is>
      </c>
      <c r="B20" s="2" t="inlineStr">
        <is>
          <t>Multi-stage classification of abnormal traffic events using a multi-head + LSTM</t>
        </is>
      </c>
      <c r="C20" s="2" t="inlineStr">
        <is>
          <t>2026</t>
        </is>
      </c>
      <c r="D20" s="2" t="inlineStr">
        <is>
          <t>10.1038/s41598-025-31470-8</t>
        </is>
      </c>
      <c r="E20" s="2" t="n"/>
      <c r="F20" s="2" t="n"/>
      <c r="G20" s="2" t="n"/>
      <c r="H20" s="2" t="n"/>
      <c r="I20" s="2" t="n"/>
    </row>
    <row r="21" ht="30" customHeight="1">
      <c r="A21" s="2" t="inlineStr">
        <is>
          <t>R0635</t>
        </is>
      </c>
      <c r="B21" s="2" t="inlineStr">
        <is>
          <t>LLM-enhanced causal graph learning for real-time crash risk prediction</t>
        </is>
      </c>
      <c r="C21" s="2" t="inlineStr">
        <is>
          <t>2026</t>
        </is>
      </c>
      <c r="D21" s="2" t="inlineStr">
        <is>
          <t>10.1016/j.aap.2026.108579</t>
        </is>
      </c>
      <c r="E21" s="2" t="n"/>
      <c r="F21" s="2" t="n"/>
      <c r="G21" s="2" t="n"/>
      <c r="H21" s="2" t="n"/>
      <c r="I21" s="2" t="n"/>
    </row>
    <row r="22" ht="30" customHeight="1">
      <c r="A22" s="2" t="inlineStr">
        <is>
          <t>R0986</t>
        </is>
      </c>
      <c r="B22" s="2" t="inlineStr">
        <is>
          <t>Research on Prediction Model of Expressway Traffic Abnormal Events Based on Nonlinear Internet of Things</t>
        </is>
      </c>
      <c r="C22" s="2" t="inlineStr">
        <is>
          <t>2025</t>
        </is>
      </c>
      <c r="D22" s="2" t="inlineStr">
        <is>
          <t>10.1002/spy2.70136</t>
        </is>
      </c>
      <c r="E22" s="2" t="n"/>
      <c r="F22" s="2" t="n"/>
      <c r="G22" s="2" t="n"/>
      <c r="H22" s="2" t="n"/>
      <c r="I22" s="2" t="n"/>
    </row>
    <row r="23" ht="30" customHeight="1">
      <c r="A23" s="2" t="inlineStr">
        <is>
          <t>R0356</t>
        </is>
      </c>
      <c r="B23" s="2" t="inlineStr">
        <is>
          <t>Deep representation of imbalanced spatio-temporal traffic flow data for traffic accident detection</t>
        </is>
      </c>
      <c r="C23" s="2" t="inlineStr">
        <is>
          <t>2023</t>
        </is>
      </c>
      <c r="D23" s="2" t="inlineStr">
        <is>
          <t>10.1049/itr2.12287</t>
        </is>
      </c>
      <c r="E23" s="2" t="n"/>
      <c r="F23" s="2" t="n"/>
      <c r="G23" s="2" t="n"/>
      <c r="H23" s="2" t="n"/>
      <c r="I23" s="2" t="n"/>
    </row>
    <row r="24" ht="30" customHeight="1">
      <c r="A24" s="2" t="inlineStr">
        <is>
          <t>R0097</t>
        </is>
      </c>
      <c r="B24" s="2" t="inlineStr">
        <is>
          <t>A memory-augmented multi-task collaborative framework for unsupervised traffic anomaly detection in driving videos</t>
        </is>
      </c>
      <c r="C24" s="2" t="inlineStr">
        <is>
          <t>2025</t>
        </is>
      </c>
      <c r="D24" s="2" t="inlineStr">
        <is>
          <t>https://doi.org/10.1016/j.patcog.2025.111789</t>
        </is>
      </c>
      <c r="E24" s="2" t="n"/>
      <c r="F24" s="2" t="n"/>
      <c r="G24" s="2" t="n"/>
      <c r="H24" s="2" t="n"/>
      <c r="I24" s="2" t="n"/>
    </row>
    <row r="25" ht="30" customHeight="1">
      <c r="A25" s="2" t="inlineStr">
        <is>
          <t>R0702</t>
        </is>
      </c>
      <c r="B25" s="2" t="inlineStr">
        <is>
          <t>Online Anomalous Subtrajectory Detection on Road Networks with Deep Reinforcement Learning</t>
        </is>
      </c>
      <c r="C25" s="2" t="inlineStr">
        <is>
          <t>2023</t>
        </is>
      </c>
      <c r="D25" s="2" t="inlineStr">
        <is>
          <t>10.1109/ICDE55515.2023.00026</t>
        </is>
      </c>
      <c r="E25" s="2" t="n"/>
      <c r="F25" s="2" t="n"/>
      <c r="G25" s="2" t="n"/>
      <c r="H25" s="2" t="n"/>
      <c r="I25" s="2" t="n"/>
    </row>
    <row r="26" ht="30" customHeight="1">
      <c r="A26" s="2" t="inlineStr">
        <is>
          <t>R0622</t>
        </is>
      </c>
      <c r="B26" s="2" t="inlineStr">
        <is>
          <t>Learning Representation for Anomaly Detection of Vehicle Trajectories</t>
        </is>
      </c>
      <c r="C26" s="2" t="inlineStr">
        <is>
          <t>2023</t>
        </is>
      </c>
      <c r="D26" s="2" t="inlineStr">
        <is>
          <t>10.1109/IROS55552.2023.10342070</t>
        </is>
      </c>
      <c r="E26" s="2" t="n"/>
      <c r="F26" s="2" t="n"/>
      <c r="G26" s="2" t="n"/>
      <c r="H26" s="2" t="n"/>
      <c r="I26" s="2" t="n"/>
    </row>
    <row r="27" ht="30" customHeight="1">
      <c r="A27" s="2" t="inlineStr">
        <is>
          <t>R1010</t>
        </is>
      </c>
      <c r="B27" s="2" t="inlineStr">
        <is>
          <t>Road Incident Detection System</t>
        </is>
      </c>
      <c r="C27" s="2" t="inlineStr">
        <is>
          <t>2025</t>
        </is>
      </c>
      <c r="D27" s="2" t="inlineStr">
        <is>
          <t>10.1145/3731806.3731847</t>
        </is>
      </c>
      <c r="E27" s="2" t="n"/>
      <c r="F27" s="2" t="n"/>
      <c r="G27" s="2" t="n"/>
      <c r="H27" s="2" t="n"/>
      <c r="I27" s="2" t="n"/>
    </row>
    <row r="28" ht="30" customHeight="1">
      <c r="A28" s="2" t="inlineStr">
        <is>
          <t>R0428</t>
        </is>
      </c>
      <c r="B28" s="2" t="inlineStr">
        <is>
          <t>Driving Behaviour Estimation System Considering the Effect of Road Geometry by Means of Deep NN and Hotelling Transform</t>
        </is>
      </c>
      <c r="C28" s="2" t="inlineStr">
        <is>
          <t>2024</t>
        </is>
      </c>
      <c r="D28" s="2" t="inlineStr">
        <is>
          <t>10.3390/electronics13030637</t>
        </is>
      </c>
      <c r="E28" s="2" t="n"/>
      <c r="F28" s="2" t="n"/>
      <c r="G28" s="2" t="n"/>
      <c r="H28" s="2" t="n"/>
      <c r="I28" s="2" t="n"/>
    </row>
    <row r="29" ht="30" customHeight="1">
      <c r="A29" s="2" t="inlineStr">
        <is>
          <t>R1029</t>
        </is>
      </c>
      <c r="B29" s="2" t="inlineStr">
        <is>
          <t>Safety in Smart Cities—Automatic Recognition of Dangerous Driving Styles</t>
        </is>
      </c>
      <c r="C29" s="2" t="inlineStr">
        <is>
          <t>2026</t>
        </is>
      </c>
      <c r="D29" s="2" t="inlineStr">
        <is>
          <t>10.3390/info17010044</t>
        </is>
      </c>
      <c r="E29" s="2" t="n"/>
      <c r="F29" s="2" t="n"/>
      <c r="G29" s="2" t="n"/>
      <c r="H29" s="2" t="n"/>
      <c r="I29" s="2" t="n"/>
    </row>
    <row r="30" ht="30" customHeight="1">
      <c r="A30" s="2" t="inlineStr">
        <is>
          <t>R0379</t>
        </is>
      </c>
      <c r="B30" s="2" t="inlineStr">
        <is>
          <t>Detecting Socially Abnormal Highway Driving Behaviors via Recurrent Graph Attention Networks</t>
        </is>
      </c>
      <c r="C30" s="2" t="inlineStr">
        <is>
          <t>2023</t>
        </is>
      </c>
      <c r="D30" s="2" t="inlineStr">
        <is>
          <t>10.1145/3543507.3583452</t>
        </is>
      </c>
      <c r="E30" s="2" t="n"/>
      <c r="F30" s="2" t="n"/>
      <c r="G30" s="2" t="n"/>
      <c r="H30" s="2" t="n"/>
      <c r="I30" s="2" t="n"/>
    </row>
    <row r="31" ht="30" customHeight="1">
      <c r="A31" s="2" t="inlineStr">
        <is>
          <t>R1202</t>
        </is>
      </c>
      <c r="B31" s="2" t="inlineStr">
        <is>
          <t>Unsupervised Scalable Multimodal Driving Anomaly Detection</t>
        </is>
      </c>
      <c r="C31" s="2" t="inlineStr">
        <is>
          <t>2023</t>
        </is>
      </c>
      <c r="D31" s="2" t="inlineStr">
        <is>
          <t>10.1109/TIV.2022.3160861</t>
        </is>
      </c>
      <c r="E31" s="2" t="n"/>
      <c r="F31" s="2" t="n"/>
      <c r="G31" s="2" t="n"/>
      <c r="H31" s="2" t="n"/>
      <c r="I31" s="2" t="n"/>
    </row>
  </sheetData>
  <autoFilter ref="A1:I31"/>
  <conditionalFormatting sqref="H2:H31">
    <cfRule type="expression" priority="1" dxfId="0">
      <formula>AND($F2="Excluir",H2="")</formula>
    </cfRule>
  </conditionalFormatting>
  <conditionalFormatting sqref="G2:G31">
    <cfRule type="expression" priority="2" dxfId="1">
      <formula>AND($F2="Excluir",G2="")</formula>
    </cfRule>
  </conditionalFormatting>
  <conditionalFormatting sqref="F2:F31">
    <cfRule type="expression" priority="3" dxfId="0">
      <formula>F2=""</formula>
    </cfRule>
  </conditionalFormatting>
  <dataValidations count="3">
    <dataValidation sqref="F2:F31" showDropDown="0" showInputMessage="0" showErrorMessage="1" allowBlank="1" errorTitle="Valor no válido" error="Elige un valor de la lista desplegable." type="list">
      <formula1>"Incluir,Excluir"</formula1>
    </dataValidation>
    <dataValidation sqref="G2:G31" showDropDown="0" showInputMessage="0" showErrorMessage="1" allowBlank="1" errorTitle="Valor no válido" error="Elige un valor de la lista desplegable." type="list">
      <formula1>"CE-1,CE-5,CI-3,CI-2,CE-2,CE-3,CE-4,CI-6,CE-6"</formula1>
    </dataValidation>
    <dataValidation sqref="E2:E31" showDropDown="0" showInputMessage="0" showErrorMessage="1" allowBlank="1" errorTitle="Valor no válido" error="Elige un valor de la lista desplegable." type="list">
      <formula1>"Sí,No recuperado"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0" customWidth="1" min="3" max="3"/>
  </cols>
  <sheetData>
    <row r="1">
      <c r="A1" s="5" t="inlineStr">
        <is>
          <t>Paso</t>
        </is>
      </c>
      <c r="B1" s="5" t="inlineStr">
        <is>
          <t>Pregunta (aplicar en este orden; la PRIMERA que se cumpla da el criterio)</t>
        </is>
      </c>
      <c r="C1" s="5" t="inlineStr">
        <is>
          <t>Decisión</t>
        </is>
      </c>
    </row>
    <row r="2">
      <c r="A2" s="2" t="inlineStr">
        <is>
          <t>1</t>
        </is>
      </c>
      <c r="B2" s="2" t="inlineStr">
        <is>
          <t>¿Es el mismo estudio que otro registro (duplicado o versión menos completa)?</t>
        </is>
      </c>
      <c r="C2" s="2" t="inlineStr">
        <is>
          <t>Sí → Excluir, CE-1</t>
        </is>
      </c>
    </row>
    <row r="3">
      <c r="A3" s="2" t="inlineStr">
        <is>
          <t>2</t>
        </is>
      </c>
      <c r="B3" s="2" t="inlineStr">
        <is>
          <t>¿Es revisión/survey, capítulo, tesis, resumen, póster, editorial o preprint?</t>
        </is>
      </c>
      <c r="C3" s="2" t="inlineStr">
        <is>
          <t>Sí → Excluir, CE-5</t>
        </is>
      </c>
    </row>
    <row r="4">
      <c r="A4" s="2" t="inlineStr">
        <is>
          <t>3</t>
        </is>
      </c>
      <c r="B4" s="2" t="inlineStr">
        <is>
          <t>¿Publicado fuera de 2020-2026?</t>
        </is>
      </c>
      <c r="C4" s="2" t="inlineStr">
        <is>
          <t>Sí → Excluir, CI-3</t>
        </is>
      </c>
    </row>
    <row r="5">
      <c r="A5" s="2" t="inlineStr">
        <is>
          <t>4</t>
        </is>
      </c>
      <c r="B5" s="2" t="inlineStr">
        <is>
          <t>¿Idioma distinto de inglés o español?</t>
        </is>
      </c>
      <c r="C5" s="2" t="inlineStr">
        <is>
          <t>Sí → Excluir, CI-2</t>
        </is>
      </c>
    </row>
    <row r="6">
      <c r="A6" s="2" t="inlineStr">
        <is>
          <t>5</t>
        </is>
      </c>
      <c r="B6" s="2" t="inlineStr">
        <is>
          <t>¿El objeto NO es el tráfico vehicular por carretera (urbano o autopista)?</t>
        </is>
      </c>
      <c r="C6" s="2" t="inlineStr">
        <is>
          <t>Sí → Excluir, CE-2</t>
        </is>
      </c>
    </row>
    <row r="7">
      <c r="A7" s="2" t="inlineStr">
        <is>
          <t>6</t>
        </is>
      </c>
      <c r="B7" s="2" t="inlineStr">
        <is>
          <t>¿NO trata la detección/anticipación de anomalías del tráfico (solo pronóstico, clasificación general, riesgo a largo plazo)?</t>
        </is>
      </c>
      <c r="C7" s="2" t="inlineStr">
        <is>
          <t>Sí → Excluir, CE-3</t>
        </is>
      </c>
    </row>
    <row r="8">
      <c r="A8" s="2" t="inlineStr">
        <is>
          <t>7</t>
        </is>
      </c>
      <c r="B8" s="2" t="inlineStr">
        <is>
          <t>¿La detección claramente NO usa Deep Learning?</t>
        </is>
      </c>
      <c r="C8" s="2" t="inlineStr">
        <is>
          <t>Sí → Excluir, CE-4</t>
        </is>
      </c>
    </row>
    <row r="9">
      <c r="A9" s="2" t="inlineStr">
        <is>
          <t>8</t>
        </is>
      </c>
      <c r="B9" s="2" t="inlineStr">
        <is>
          <t>¿El texto completo no evalúa cuantitativamente la DETECCIÓN (solo pronóstico, reconocimiento de acciones o figuras cualitativas)?</t>
        </is>
      </c>
      <c r="C9" s="2" t="inlineStr">
        <is>
          <t>Sí → Excluir, CI-6</t>
        </is>
      </c>
    </row>
    <row r="10">
      <c r="A10" s="2" t="inlineStr">
        <is>
          <t>9</t>
        </is>
      </c>
      <c r="B10" s="2" t="inlineStr">
        <is>
          <t>¿No describe modelo, datos o resultados lo suficiente para extraerlos?</t>
        </is>
      </c>
      <c r="C10" s="2" t="inlineStr">
        <is>
          <t>Sí → Excluir, CE-6</t>
        </is>
      </c>
    </row>
    <row r="11">
      <c r="A11" s="2" t="inlineStr">
        <is>
          <t>10</t>
        </is>
      </c>
      <c r="B11" s="2" t="inlineStr">
        <is>
          <t>Si pasó todo:</t>
        </is>
      </c>
      <c r="C11" s="2" t="inlineStr">
        <is>
          <t>Incluir</t>
        </is>
      </c>
    </row>
    <row r="12">
      <c r="A12" s="2" t="n"/>
      <c r="B12" s="2" t="n"/>
      <c r="C12" s="2" t="n"/>
    </row>
    <row r="13">
      <c r="A13" s="2" t="inlineStr"/>
      <c r="B13" s="6" t="inlineStr">
        <is>
          <t>Códigos de criterio</t>
        </is>
      </c>
      <c r="C13" s="2" t="inlineStr"/>
    </row>
    <row r="14">
      <c r="A14" s="2" t="inlineStr">
        <is>
          <t>CE-1</t>
        </is>
      </c>
      <c r="B14" s="2" t="inlineStr">
        <is>
          <t>Duplicado o versión menos completa del mismo estudio</t>
        </is>
      </c>
      <c r="C14" s="2" t="inlineStr"/>
    </row>
    <row r="15">
      <c r="A15" s="2" t="inlineStr">
        <is>
          <t>CE-5</t>
        </is>
      </c>
      <c r="B15" s="2" t="inlineStr">
        <is>
          <t>Revisión, survey, capítulo, tesis, resumen, póster, editorial o preprint sin versión revisada</t>
        </is>
      </c>
      <c r="C15" s="2" t="inlineStr"/>
    </row>
    <row r="16">
      <c r="A16" s="2" t="inlineStr">
        <is>
          <t>CI-3</t>
        </is>
      </c>
      <c r="B16" s="2" t="inlineStr">
        <is>
          <t>Fuera del periodo 2020-2026</t>
        </is>
      </c>
      <c r="C16" s="2" t="inlineStr"/>
    </row>
    <row r="17">
      <c r="A17" s="2" t="inlineStr">
        <is>
          <t>CI-2</t>
        </is>
      </c>
      <c r="B17" s="2" t="inlineStr">
        <is>
          <t>Idioma distinto de inglés o español</t>
        </is>
      </c>
      <c r="C17" s="2" t="inlineStr"/>
    </row>
    <row r="18">
      <c r="A18" s="2" t="inlineStr">
        <is>
          <t>CE-2</t>
        </is>
      </c>
      <c r="B18" s="2" t="inlineStr">
        <is>
          <t>No trata de tráfico vehicular por carretera</t>
        </is>
      </c>
      <c r="C18" s="2" t="inlineStr"/>
    </row>
    <row r="19">
      <c r="A19" s="2" t="inlineStr">
        <is>
          <t>CE-3</t>
        </is>
      </c>
      <c r="B19" s="2" t="inlineStr">
        <is>
          <t>No evalúa detección de anomalías (solo pronóstico, clasificación general, riesgo a largo plazo)</t>
        </is>
      </c>
      <c r="C19" s="2" t="inlineStr"/>
    </row>
    <row r="20">
      <c r="A20" s="2" t="inlineStr">
        <is>
          <t>CE-4</t>
        </is>
      </c>
      <c r="B20" s="2" t="inlineStr">
        <is>
          <t>La detección no se basa en Deep Learning</t>
        </is>
      </c>
      <c r="C20" s="2" t="inlineStr"/>
    </row>
    <row r="21">
      <c r="A21" s="2" t="inlineStr">
        <is>
          <t>CI-6</t>
        </is>
      </c>
      <c r="B21" s="2" t="inlineStr">
        <is>
          <t>Sin evaluación cuantitativa de la tarea de detección</t>
        </is>
      </c>
      <c r="C21" s="2" t="inlineStr"/>
    </row>
    <row r="22">
      <c r="A22" s="2" t="inlineStr">
        <is>
          <t>CE-6</t>
        </is>
      </c>
      <c r="B22" s="2" t="inlineStr">
        <is>
          <t>Información insuficiente sobre modelo, datos o resultados</t>
        </is>
      </c>
      <c r="C22" s="2" t="inlineStr"/>
    </row>
    <row r="23">
      <c r="A23" s="2" t="n"/>
      <c r="B23" s="2" t="n"/>
      <c r="C23" s="2" t="n"/>
    </row>
    <row r="24">
      <c r="A24" s="2" t="inlineStr"/>
      <c r="B24" s="2" t="inlineStr">
        <is>
          <t>Definiciones completas y ejemplos: cribado/MANUAL_CRIBADO.md</t>
        </is>
      </c>
      <c r="C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2026-10-27T05:49:31Z</dcterms:created>
  <dcterms:modified xmlns:dcterms="http://purl.org/dc/terms/" xmlns:xsi="http://www.w3.org/2001/XMLSchema-instance" xsi:type="dcterms:W3CDTF">2026-10-27T05:49:31Z</dcterms:modified>
</cp:coreProperties>
</file>